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5D3E0F0-41DF-46C0-A13C-54C93453DE2F}" xr6:coauthVersionLast="47" xr6:coauthVersionMax="47" xr10:uidLastSave="{00000000-0000-0000-0000-000000000000}"/>
  <bookViews>
    <workbookView xWindow="6330" yWindow="2420" windowWidth="16100" windowHeight="1117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1" l="1"/>
  <c r="F2" i="1"/>
  <c r="E1" i="1"/>
  <c r="E2" i="1"/>
  <c r="D1" i="1"/>
  <c r="D2" i="1"/>
  <c r="C1" i="1"/>
  <c r="B1" i="1"/>
  <c r="C2" i="1"/>
</calcChain>
</file>

<file path=xl/sharedStrings.xml><?xml version="1.0" encoding="utf-8"?>
<sst xmlns="http://schemas.openxmlformats.org/spreadsheetml/2006/main" count="12" uniqueCount="12">
  <si>
    <t>SataPortMap=</t>
  </si>
  <si>
    <t>DiskIdxMap=</t>
  </si>
  <si>
    <t>00</t>
  </si>
  <si>
    <t>SasIdxMap=</t>
  </si>
  <si>
    <t>磁盘控制芯片</t>
  </si>
  <si>
    <t>1#</t>
  </si>
  <si>
    <t>2#</t>
  </si>
  <si>
    <t>3#</t>
  </si>
  <si>
    <t>4#</t>
  </si>
  <si>
    <t>5#</t>
  </si>
  <si>
    <t>硬盘个数</t>
  </si>
  <si>
    <t>主板可能会有多个磁盘控制芯片，对应上表中1#至5#，根据实际情况选择每个磁盘控制芯片所连接的硬盘个数，即可生成对应盘序参数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</si>
</sst>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20"/>
      <color rgb="FF000000"/>
      <name val="宋体"/>
      <charset val="134"/>
    </font>
    <font>
      <sz val="26"/>
      <color theme="1"/>
      <name val="宋体"/>
      <charset val="134"/>
      <scheme val="minor"/>
    </font>
    <font>
      <sz val="26"/>
      <color rgb="FF000000"/>
      <name val="宋体"/>
      <charset val="134"/>
    </font>
    <font>
      <sz val="2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3">
    <dxf>
      <font>
        <color rgb="FFD73434"/>
      </font>
      <fill>
        <patternFill patternType="solid">
          <bgColor rgb="FFFEC8CE"/>
        </patternFill>
      </fill>
    </dxf>
    <dxf>
      <font>
        <color theme="0"/>
      </font>
    </dxf>
    <dxf>
      <font>
        <color rgb="FFFFFFFF"/>
      </font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6" sqref="B6"/>
    </sheetView>
  </sheetViews>
  <sheetFormatPr defaultColWidth="8.81640625" defaultRowHeight="14" x14ac:dyDescent="0.25"/>
  <cols>
    <col min="1" max="1" width="24.36328125" customWidth="1"/>
  </cols>
  <sheetData>
    <row r="1" spans="1:6" ht="32.25" customHeight="1" x14ac:dyDescent="0.25">
      <c r="A1" s="1" t="s">
        <v>0</v>
      </c>
      <c r="B1" s="2">
        <f>B6</f>
        <v>1</v>
      </c>
      <c r="C1" s="2">
        <f>C6</f>
        <v>1</v>
      </c>
      <c r="D1" s="2">
        <f>D6</f>
        <v>0</v>
      </c>
      <c r="E1" s="2">
        <f>E6</f>
        <v>0</v>
      </c>
      <c r="F1" s="2">
        <f>F6</f>
        <v>0</v>
      </c>
    </row>
    <row r="2" spans="1:6" ht="30.75" customHeight="1" x14ac:dyDescent="0.25">
      <c r="A2" s="1" t="s">
        <v>1</v>
      </c>
      <c r="B2" s="3" t="s">
        <v>2</v>
      </c>
      <c r="C2" s="2" t="str">
        <f>IF(C1=0,0,DEC2HEX(B1,2))</f>
        <v>01</v>
      </c>
      <c r="D2" s="2">
        <f>IF(D1=0,0,DEC2HEX(B1+C1,2))</f>
        <v>0</v>
      </c>
      <c r="E2" s="2">
        <f>IF(E1=0,0,DEC2HEX(B1+C1+D1,2))</f>
        <v>0</v>
      </c>
      <c r="F2" s="2">
        <f>IF(F1=0,0,DEC2HEX(B1+C1+D1+E1,2))</f>
        <v>0</v>
      </c>
    </row>
    <row r="3" spans="1:6" ht="41.25" customHeight="1" x14ac:dyDescent="0.25">
      <c r="A3" s="1" t="s">
        <v>3</v>
      </c>
      <c r="B3" s="3">
        <v>0</v>
      </c>
      <c r="C3" s="4"/>
      <c r="D3" s="4"/>
      <c r="E3" s="4"/>
      <c r="F3" s="4"/>
    </row>
    <row r="4" spans="1:6" x14ac:dyDescent="0.25">
      <c r="B4" s="4"/>
      <c r="C4" s="4"/>
      <c r="D4" s="4"/>
      <c r="E4" s="4"/>
      <c r="F4" s="4"/>
    </row>
    <row r="5" spans="1:6" ht="25.5" x14ac:dyDescent="0.25">
      <c r="A5" s="1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25.5" x14ac:dyDescent="0.25">
      <c r="A6" s="1" t="s">
        <v>10</v>
      </c>
      <c r="B6" s="6">
        <v>1</v>
      </c>
      <c r="C6" s="6">
        <v>1</v>
      </c>
      <c r="D6" s="6"/>
      <c r="E6" s="6"/>
      <c r="F6" s="6"/>
    </row>
    <row r="8" spans="1:6" ht="72" customHeight="1" x14ac:dyDescent="0.25">
      <c r="A8" s="7" t="s">
        <v>11</v>
      </c>
      <c r="B8" s="8"/>
      <c r="C8" s="8"/>
      <c r="D8" s="8"/>
      <c r="E8" s="8"/>
      <c r="F8" s="8"/>
    </row>
  </sheetData>
  <sheetProtection formatCells="0" insertHyperlinks="0" autoFilter="0"/>
  <mergeCells count="1">
    <mergeCell ref="A8:F8"/>
  </mergeCells>
  <phoneticPr fontId="5" type="noConversion"/>
  <conditionalFormatting sqref="C1:F1">
    <cfRule type="containsText" dxfId="2" priority="3" operator="containsText" text="0">
      <formula>NOT(ISERROR(SEARCH("0",C1)))</formula>
    </cfRule>
  </conditionalFormatting>
  <conditionalFormatting sqref="C2:F2">
    <cfRule type="cellIs" dxfId="1" priority="1" operator="equal">
      <formula>0</formula>
    </cfRule>
    <cfRule type="aboveAverage" dxfId="0" priority="2" aboveAverage="0"/>
  </conditionalFormatting>
  <dataValidations count="1">
    <dataValidation type="list" allowBlank="1" showErrorMessage="1" errorTitle="错误提示" error="请输入下拉列表中的一个值" sqref="B6:F6" xr:uid="{00000000-0002-0000-0000-000000000000}">
      <formula1>"0,1,2,3,4,5,6,7,8,9"</formula1>
    </dataValidation>
  </dataValidations>
  <pageMargins left="0.75" right="0.75" top="1" bottom="1" header="0.51180555555555596" footer="0.51180555555555596"/>
  <ignoredErrors>
    <ignoredError sqref="B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3.xml><?xml version="1.0" encoding="utf-8"?>
<comments xmlns="https://web.wps.cn/et/2018/main" xmlns:s="http://schemas.openxmlformats.org/spreadsheetml/2006/main"/>
</file>

<file path=customXml/item4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 P</cp:lastModifiedBy>
  <dcterms:created xsi:type="dcterms:W3CDTF">2018-06-03T00:28:00Z</dcterms:created>
  <dcterms:modified xsi:type="dcterms:W3CDTF">2022-07-26T03:32:19Z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A4D33D22D41D4CC288C0D11D446FEA89</vt:lpwstr>
  </property>
</Properties>
</file>